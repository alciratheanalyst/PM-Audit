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cira\Documents\Proyectos_Python\PM_Assistant\data\"/>
    </mc:Choice>
  </mc:AlternateContent>
  <bookViews>
    <workbookView xWindow="0" yWindow="0" windowWidth="23040" windowHeight="9072" activeTab="1"/>
  </bookViews>
  <sheets>
    <sheet name="Project_Tracker" sheetId="1" r:id="rId1"/>
    <sheet name="Meeting_Notes" sheetId="2" r:id="rId2"/>
    <sheet name="Dashboard" sheetId="3" r:id="rId3"/>
  </sheets>
  <calcPr calcId="162913"/>
</workbook>
</file>

<file path=xl/calcChain.xml><?xml version="1.0" encoding="utf-8"?>
<calcChain xmlns="http://schemas.openxmlformats.org/spreadsheetml/2006/main">
  <c r="E13" i="3" l="1"/>
  <c r="F13" i="3" s="1"/>
  <c r="E12" i="3"/>
  <c r="F12" i="3" s="1"/>
  <c r="E11" i="3"/>
  <c r="F11" i="3" s="1"/>
  <c r="B11" i="3"/>
  <c r="B10" i="3"/>
  <c r="B9" i="3"/>
  <c r="B8" i="3"/>
  <c r="E7" i="3"/>
  <c r="F7" i="3" s="1"/>
  <c r="B7" i="3"/>
  <c r="E6" i="3"/>
  <c r="F6" i="3" s="1"/>
  <c r="B6" i="3"/>
  <c r="E5" i="3"/>
  <c r="F5" i="3" s="1"/>
  <c r="B5" i="3"/>
  <c r="B4" i="3"/>
</calcChain>
</file>

<file path=xl/sharedStrings.xml><?xml version="1.0" encoding="utf-8"?>
<sst xmlns="http://schemas.openxmlformats.org/spreadsheetml/2006/main" count="345" uniqueCount="183">
  <si>
    <t>Task ID</t>
  </si>
  <si>
    <t>Phase</t>
  </si>
  <si>
    <t>Task</t>
  </si>
  <si>
    <t>Owner</t>
  </si>
  <si>
    <t>Planned Start</t>
  </si>
  <si>
    <t>Planned End</t>
  </si>
  <si>
    <t>Actual End</t>
  </si>
  <si>
    <t>Status</t>
  </si>
  <si>
    <t>Progress %</t>
  </si>
  <si>
    <t>Priority</t>
  </si>
  <si>
    <t>Dependency</t>
  </si>
  <si>
    <t>Risk Level</t>
  </si>
  <si>
    <t>Planned Hours</t>
  </si>
  <si>
    <t>Actual Hours</t>
  </si>
  <si>
    <t>Notes</t>
  </si>
  <si>
    <t>T001</t>
  </si>
  <si>
    <t>Initiation</t>
  </si>
  <si>
    <t>Project kickoff and scope confirmation</t>
  </si>
  <si>
    <t>Ana PM</t>
  </si>
  <si>
    <t>Completed</t>
  </si>
  <si>
    <t>High</t>
  </si>
  <si>
    <t>-</t>
  </si>
  <si>
    <t>Low</t>
  </si>
  <si>
    <t>Scope approved</t>
  </si>
  <si>
    <t>T002</t>
  </si>
  <si>
    <t>Stakeholder map and RACI</t>
  </si>
  <si>
    <t>One-day delay</t>
  </si>
  <si>
    <t>T003</t>
  </si>
  <si>
    <t>Initial requirements workshop</t>
  </si>
  <si>
    <t>Luis BA</t>
  </si>
  <si>
    <t>All key stakeholders attended</t>
  </si>
  <si>
    <t>T004</t>
  </si>
  <si>
    <t>Planning</t>
  </si>
  <si>
    <t>Detailed project plan</t>
  </si>
  <si>
    <t>T002,T003</t>
  </si>
  <si>
    <t>Medium</t>
  </si>
  <si>
    <t>Dependent on final requirements</t>
  </si>
  <si>
    <t>T005</t>
  </si>
  <si>
    <t>Data migration strategy</t>
  </si>
  <si>
    <t>Carlos Data</t>
  </si>
  <si>
    <t>Legacy data quality issues</t>
  </si>
  <si>
    <t>T006</t>
  </si>
  <si>
    <t>Design</t>
  </si>
  <si>
    <t>UX process map</t>
  </si>
  <si>
    <t>Marta UX</t>
  </si>
  <si>
    <t>Two review cycles</t>
  </si>
  <si>
    <t>T007</t>
  </si>
  <si>
    <t>Target solution architecture</t>
  </si>
  <si>
    <t>Diego Tech</t>
  </si>
  <si>
    <t>Security review added</t>
  </si>
  <si>
    <t>T008</t>
  </si>
  <si>
    <t>Security requirements definition</t>
  </si>
  <si>
    <t>Sara Security</t>
  </si>
  <si>
    <t>External review delayed</t>
  </si>
  <si>
    <t>T009</t>
  </si>
  <si>
    <t>Build</t>
  </si>
  <si>
    <t>Development sprint 1</t>
  </si>
  <si>
    <t>T006,T007</t>
  </si>
  <si>
    <t>Environment instability</t>
  </si>
  <si>
    <t>T010</t>
  </si>
  <si>
    <t>API integration - payments</t>
  </si>
  <si>
    <t>In Progress</t>
  </si>
  <si>
    <t>Third-party API intermittency</t>
  </si>
  <si>
    <t>T011</t>
  </si>
  <si>
    <t>Customer notification workflow</t>
  </si>
  <si>
    <t>Minor rework</t>
  </si>
  <si>
    <t>T012</t>
  </si>
  <si>
    <t>Data migration rehearsal</t>
  </si>
  <si>
    <t>T005,T009</t>
  </si>
  <si>
    <t>18% records need remediation</t>
  </si>
  <si>
    <t>T013</t>
  </si>
  <si>
    <t>Development sprint 2</t>
  </si>
  <si>
    <t>Capacity reduced by API issues</t>
  </si>
  <si>
    <t>T014</t>
  </si>
  <si>
    <t>Accessibility fixes</t>
  </si>
  <si>
    <t>Awaiting final review</t>
  </si>
  <si>
    <t>T015</t>
  </si>
  <si>
    <t>Testing</t>
  </si>
  <si>
    <t>Test plan and cases</t>
  </si>
  <si>
    <t>Ready for UAT</t>
  </si>
  <si>
    <t>T016</t>
  </si>
  <si>
    <t>System integration testing (SIT)</t>
  </si>
  <si>
    <t>Not Started</t>
  </si>
  <si>
    <t>T010,T012,T013</t>
  </si>
  <si>
    <t>Blocked by build/data dependencies</t>
  </si>
  <si>
    <t>T017</t>
  </si>
  <si>
    <t>User acceptance testing (UAT)</t>
  </si>
  <si>
    <t>Business Team</t>
  </si>
  <si>
    <t>Business users booked</t>
  </si>
  <si>
    <t>T018</t>
  </si>
  <si>
    <t>Defect triage and resolution</t>
  </si>
  <si>
    <t>Capacity concern</t>
  </si>
  <si>
    <t>T019</t>
  </si>
  <si>
    <t>Deployment</t>
  </si>
  <si>
    <t>Production readiness checklist</t>
  </si>
  <si>
    <t>T017,T018</t>
  </si>
  <si>
    <t>Checklist drafted</t>
  </si>
  <si>
    <t>T020</t>
  </si>
  <si>
    <t>Go-live rehearsal</t>
  </si>
  <si>
    <t>Environment to confirm</t>
  </si>
  <si>
    <t>T021</t>
  </si>
  <si>
    <t>Production deployment</t>
  </si>
  <si>
    <t>Critical</t>
  </si>
  <si>
    <t>Go-live window reserved</t>
  </si>
  <si>
    <t>T022</t>
  </si>
  <si>
    <t>Hypercare</t>
  </si>
  <si>
    <t>Hypercare support</t>
  </si>
  <si>
    <t>Support Team</t>
  </si>
  <si>
    <t>Staffing not fully confirmed</t>
  </si>
  <si>
    <t>T023</t>
  </si>
  <si>
    <t>Closure</t>
  </si>
  <si>
    <t>Post-implementation review</t>
  </si>
  <si>
    <t>Success criteria drafted</t>
  </si>
  <si>
    <t>T024</t>
  </si>
  <si>
    <t>Benefits realization baseline</t>
  </si>
  <si>
    <t>KPIs identified</t>
  </si>
  <si>
    <t>T025</t>
  </si>
  <si>
    <t>Final project report</t>
  </si>
  <si>
    <t>T023,T024</t>
  </si>
  <si>
    <t>Template ready</t>
  </si>
  <si>
    <t>T026</t>
  </si>
  <si>
    <t>Governance cadence setup</t>
  </si>
  <si>
    <t>Weekly status cadence</t>
  </si>
  <si>
    <t>T027</t>
  </si>
  <si>
    <t>KPI baseline definition</t>
  </si>
  <si>
    <t>Source data inconsistent</t>
  </si>
  <si>
    <t>T028</t>
  </si>
  <si>
    <t>Legacy data remediation</t>
  </si>
  <si>
    <t>Could delay migration</t>
  </si>
  <si>
    <t>T029</t>
  </si>
  <si>
    <t>Security penetration test</t>
  </si>
  <si>
    <t>T008,T013</t>
  </si>
  <si>
    <t>Vendor date not confirmed</t>
  </si>
  <si>
    <t>T030</t>
  </si>
  <si>
    <t>Training materials and enablement</t>
  </si>
  <si>
    <t>T014,T015</t>
  </si>
  <si>
    <t>Content in draft</t>
  </si>
  <si>
    <t>Meeting Date</t>
  </si>
  <si>
    <t>Meeting</t>
  </si>
  <si>
    <t>Participants</t>
  </si>
  <si>
    <t>Key Updates</t>
  </si>
  <si>
    <t>Decisions</t>
  </si>
  <si>
    <t>Actions / Owner</t>
  </si>
  <si>
    <t>Due Date</t>
  </si>
  <si>
    <t>Potential Risk</t>
  </si>
  <si>
    <t>Weekly Project Status</t>
  </si>
  <si>
    <t>PM; BA; Tech; Data</t>
  </si>
  <si>
    <t>SIT preparation started. API integration remains unstable.</t>
  </si>
  <si>
    <t>Prioritize payment API remediation before non-critical features.</t>
  </si>
  <si>
    <t>Diego: escalate API vendor issue; Carlos: provide remediation plan</t>
  </si>
  <si>
    <t>Schedule impact</t>
  </si>
  <si>
    <t>Data Migration Review</t>
  </si>
  <si>
    <t>PM; Data; BA</t>
  </si>
  <si>
    <t>18% of legacy records fail validation rules.</t>
  </si>
  <si>
    <t>Run additional remediation cycle before migration rehearsal.</t>
  </si>
  <si>
    <t>Carlos: remediation backlog; Luis: update validation rules</t>
  </si>
  <si>
    <t>Migration delay</t>
  </si>
  <si>
    <t>Leadership Check-in</t>
  </si>
  <si>
    <t>Sponsor; PM; BA</t>
  </si>
  <si>
    <t>Project still targets Oct 20 go-live, but dependencies are tightening.</t>
  </si>
  <si>
    <t>Escalate any critical dependency that threatens SIT start.</t>
  </si>
  <si>
    <t>Ana: dependency review with sponsor</t>
  </si>
  <si>
    <t>Go-live risk</t>
  </si>
  <si>
    <t>Security Coordination</t>
  </si>
  <si>
    <t>Security; Tech; PM</t>
  </si>
  <si>
    <t>Penetration test vendor has not confirmed date.</t>
  </si>
  <si>
    <t>Hold provisional slot for Sep 16-23 and confirm within 48 hours.</t>
  </si>
  <si>
    <t>Sara: confirm vendor; Diego: prepare environment</t>
  </si>
  <si>
    <t>Testing blocker</t>
  </si>
  <si>
    <t>PM; BA; Tech; UX</t>
  </si>
  <si>
    <t>SIT is scheduled for Sep 14 and depends on API, migration rehearsal, and Sprint 2.</t>
  </si>
  <si>
    <t>Create a dependency-focused recovery plan.</t>
  </si>
  <si>
    <t>Ana: recovery plan; Diego: API recovery options; Carlos: migration status</t>
  </si>
  <si>
    <t>Critical path compression</t>
  </si>
  <si>
    <t>AI-Assisted Project Management &amp; Risk Monitoring — Dashboard</t>
  </si>
  <si>
    <t>Synthetic portfolio case — created for learning and demonstration</t>
  </si>
  <si>
    <t>Tasks</t>
  </si>
  <si>
    <t>Count</t>
  </si>
  <si>
    <t>%</t>
  </si>
  <si>
    <t>High/Critical Risk</t>
  </si>
  <si>
    <t>Average Progress</t>
  </si>
  <si>
    <t>Open Medium+ Risk</t>
  </si>
  <si>
    <t>High/Critical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</si>
</sst>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i/>
      <sz val="11"/>
      <color rgb="FF666666"/>
      <name val="Carlito"/>
    </font>
    <font>
      <b/>
      <sz val="11"/>
      <name val="Carlito"/>
    </font>
    <font>
      <b/>
      <sz val="13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0" fontId="1" fillId="3" borderId="0" xfId="0" applyNumberFormat="1" applyFont="1" applyFill="1" applyBorder="1" applyAlignment="1">
      <alignment horizontal="center" wrapText="1"/>
    </xf>
    <xf numFmtId="0" fontId="4" fillId="5" borderId="0" xfId="0" applyNumberFormat="1" applyFont="1" applyFill="1" applyBorder="1"/>
    <xf numFmtId="0" fontId="5" fillId="0" borderId="0" xfId="0" applyNumberFormat="1" applyFont="1" applyFill="1" applyBorder="1"/>
    <xf numFmtId="9" fontId="5" fillId="0" borderId="0" xfId="0" applyNumberFormat="1" applyFont="1" applyFill="1" applyBorder="1"/>
    <xf numFmtId="0" fontId="1" fillId="6" borderId="0" xfId="0" applyNumberFormat="1" applyFont="1" applyFill="1" applyBorder="1" applyAlignment="1">
      <alignment horizontal="center"/>
    </xf>
    <xf numFmtId="9" fontId="0" fillId="0" borderId="0" xfId="0" applyNumberFormat="1" applyFont="1" applyFill="1" applyBorder="1"/>
    <xf numFmtId="0" fontId="2" fillId="4" borderId="0" xfId="0" applyNumberFormat="1" applyFont="1" applyFill="1" applyBorder="1" applyAlignment="1">
      <alignment horizontal="center"/>
    </xf>
    <xf numFmtId="0" fontId="0" fillId="0" borderId="0" xfId="0"/>
    <xf numFmtId="0" fontId="3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VE"/>
              <a:t>Task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Dashboard!$D$5:$D$7</c:f>
              <c:strCache>
                <c:ptCount val="3"/>
                <c:pt idx="0">
                  <c:v>Completed</c:v>
                </c:pt>
                <c:pt idx="1">
                  <c:v>In Progress</c:v>
                </c:pt>
                <c:pt idx="2">
                  <c:v>Not Started</c:v>
                </c:pt>
              </c:strCache>
            </c:strRef>
          </c:cat>
          <c:val>
            <c:numRef>
              <c:f>Dashboard!$E$5:$E$7</c:f>
              <c:numCache>
                <c:formatCode>General</c:formatCode>
                <c:ptCount val="3"/>
                <c:pt idx="0">
                  <c:v>13</c:v>
                </c:pt>
                <c:pt idx="1">
                  <c:v>5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8-4EFA-B593-53EB894E7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VE"/>
              <a:t>Risk Distribution</a:t>
            </a:r>
          </a:p>
        </c:rich>
      </c:tx>
      <c:layout>
        <c:manualLayout>
          <c:xMode val="edge"/>
          <c:yMode val="edge"/>
          <c:x val="2.1169938984899462E-3"/>
          <c:y val="2.7870680044593088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v>Series 1</c:v>
          </c:tx>
          <c:cat>
            <c:strRef>
              <c:f>Dashboard!$D$11:$D$13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High/Critical</c:v>
                </c:pt>
              </c:strCache>
            </c:strRef>
          </c:cat>
          <c:val>
            <c:numRef>
              <c:f>Dashboard!$E$11:$E$13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E3-42CF-B38E-8DD46C3C2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3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rojectTasks" displayName="ProjectTasks" ref="A1:O31" totalsRowShown="0">
  <tableColumns count="15">
    <tableColumn id="1" name="Task ID"/>
    <tableColumn id="2" name="Phase"/>
    <tableColumn id="3" name="Task"/>
    <tableColumn id="4" name="Owner"/>
    <tableColumn id="5" name="Planned Start"/>
    <tableColumn id="6" name="Planned End"/>
    <tableColumn id="7" name="Actual End"/>
    <tableColumn id="8" name="Status"/>
    <tableColumn id="9" name="Progress %"/>
    <tableColumn id="10" name="Priority"/>
    <tableColumn id="11" name="Dependency"/>
    <tableColumn id="12" name="Risk Level"/>
    <tableColumn id="13" name="Planned Hours"/>
    <tableColumn id="14" name="Actual Hours"/>
    <tableColumn id="15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etingNotes" displayName="MeetingNotes" ref="A1:H6" totalsRowShown="0">
  <tableColumns count="8">
    <tableColumn id="1" name="Meeting Date"/>
    <tableColumn id="2" name="Meeting"/>
    <tableColumn id="3" name="Participants"/>
    <tableColumn id="4" name="Key Updates"/>
    <tableColumn id="5" name="Decisions"/>
    <tableColumn id="6" name="Actions / Owner"/>
    <tableColumn id="7" name="Due Date"/>
    <tableColumn id="8" name="Potential Ris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>
      <selection activeCell="A17" sqref="A17:XFD17"/>
    </sheetView>
  </sheetViews>
  <sheetFormatPr baseColWidth="10" defaultColWidth="8.796875" defaultRowHeight="13.8"/>
  <cols>
    <col min="3" max="3" width="34" customWidth="1"/>
    <col min="4" max="4" width="18" customWidth="1"/>
    <col min="5" max="5" width="11.59765625" customWidth="1"/>
    <col min="6" max="6" width="11.3984375" customWidth="1"/>
    <col min="7" max="7" width="11.5" customWidth="1"/>
    <col min="8" max="8" width="9.8984375" customWidth="1"/>
    <col min="9" max="9" width="12.5" customWidth="1"/>
    <col min="11" max="11" width="12.5" bestFit="1" customWidth="1"/>
    <col min="12" max="12" width="10.09765625" bestFit="1" customWidth="1"/>
    <col min="13" max="13" width="13.69921875" bestFit="1" customWidth="1"/>
    <col min="14" max="14" width="12.09765625" bestFit="1" customWidth="1"/>
    <col min="15" max="15" width="38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3">
        <v>46223</v>
      </c>
      <c r="F2" s="3">
        <v>46224</v>
      </c>
      <c r="G2" s="3">
        <v>46224</v>
      </c>
      <c r="H2" s="2" t="s">
        <v>19</v>
      </c>
      <c r="I2" s="2">
        <v>100</v>
      </c>
      <c r="J2" s="2" t="s">
        <v>20</v>
      </c>
      <c r="K2" s="2" t="s">
        <v>21</v>
      </c>
      <c r="L2" s="2" t="s">
        <v>22</v>
      </c>
      <c r="M2" s="2">
        <v>8</v>
      </c>
      <c r="N2" s="2">
        <v>8</v>
      </c>
      <c r="O2" s="2" t="s">
        <v>23</v>
      </c>
    </row>
    <row r="3" spans="1:15">
      <c r="A3" s="2" t="s">
        <v>24</v>
      </c>
      <c r="B3" s="2" t="s">
        <v>16</v>
      </c>
      <c r="C3" s="2" t="s">
        <v>25</v>
      </c>
      <c r="D3" s="2" t="s">
        <v>18</v>
      </c>
      <c r="E3" s="3">
        <v>46224</v>
      </c>
      <c r="F3" s="3">
        <v>46227</v>
      </c>
      <c r="G3" s="3">
        <v>46228</v>
      </c>
      <c r="H3" s="2" t="s">
        <v>19</v>
      </c>
      <c r="I3" s="2">
        <v>100</v>
      </c>
      <c r="J3" s="2" t="s">
        <v>20</v>
      </c>
      <c r="K3" s="2" t="s">
        <v>15</v>
      </c>
      <c r="L3" s="2" t="s">
        <v>22</v>
      </c>
      <c r="M3" s="2">
        <v>12</v>
      </c>
      <c r="N3" s="2">
        <v>14</v>
      </c>
      <c r="O3" s="2" t="s">
        <v>26</v>
      </c>
    </row>
    <row r="4" spans="1:15">
      <c r="A4" s="2" t="s">
        <v>27</v>
      </c>
      <c r="B4" s="2" t="s">
        <v>16</v>
      </c>
      <c r="C4" s="2" t="s">
        <v>28</v>
      </c>
      <c r="D4" s="2" t="s">
        <v>29</v>
      </c>
      <c r="E4" s="3">
        <v>46225</v>
      </c>
      <c r="F4" s="3">
        <v>46232</v>
      </c>
      <c r="G4" s="3">
        <v>46232</v>
      </c>
      <c r="H4" s="2" t="s">
        <v>19</v>
      </c>
      <c r="I4" s="2">
        <v>100</v>
      </c>
      <c r="J4" s="2" t="s">
        <v>20</v>
      </c>
      <c r="K4" s="2" t="s">
        <v>15</v>
      </c>
      <c r="L4" s="2" t="s">
        <v>22</v>
      </c>
      <c r="M4" s="2">
        <v>24</v>
      </c>
      <c r="N4" s="2">
        <v>26</v>
      </c>
      <c r="O4" s="2" t="s">
        <v>30</v>
      </c>
    </row>
    <row r="5" spans="1:15">
      <c r="A5" s="2" t="s">
        <v>31</v>
      </c>
      <c r="B5" s="2" t="s">
        <v>32</v>
      </c>
      <c r="C5" s="2" t="s">
        <v>33</v>
      </c>
      <c r="D5" s="2" t="s">
        <v>18</v>
      </c>
      <c r="E5" s="3">
        <v>46230</v>
      </c>
      <c r="F5" s="3">
        <v>46234</v>
      </c>
      <c r="G5" s="3">
        <v>46237</v>
      </c>
      <c r="H5" s="2" t="s">
        <v>19</v>
      </c>
      <c r="I5" s="2">
        <v>100</v>
      </c>
      <c r="J5" s="2" t="s">
        <v>20</v>
      </c>
      <c r="K5" s="2" t="s">
        <v>34</v>
      </c>
      <c r="L5" s="2" t="s">
        <v>35</v>
      </c>
      <c r="M5" s="2">
        <v>20</v>
      </c>
      <c r="N5" s="2">
        <v>28</v>
      </c>
      <c r="O5" s="2" t="s">
        <v>36</v>
      </c>
    </row>
    <row r="6" spans="1:15">
      <c r="A6" s="2" t="s">
        <v>37</v>
      </c>
      <c r="B6" s="2" t="s">
        <v>32</v>
      </c>
      <c r="C6" s="2" t="s">
        <v>38</v>
      </c>
      <c r="D6" s="2" t="s">
        <v>39</v>
      </c>
      <c r="E6" s="3">
        <v>46233</v>
      </c>
      <c r="F6" s="3">
        <v>46241</v>
      </c>
      <c r="G6" s="3">
        <v>46244</v>
      </c>
      <c r="H6" s="2" t="s">
        <v>19</v>
      </c>
      <c r="I6" s="2">
        <v>100</v>
      </c>
      <c r="J6" s="2" t="s">
        <v>20</v>
      </c>
      <c r="K6" s="2" t="s">
        <v>27</v>
      </c>
      <c r="L6" s="2" t="s">
        <v>35</v>
      </c>
      <c r="M6" s="2">
        <v>28</v>
      </c>
      <c r="N6" s="2">
        <v>34</v>
      </c>
      <c r="O6" s="2" t="s">
        <v>40</v>
      </c>
    </row>
    <row r="7" spans="1:15">
      <c r="A7" s="2" t="s">
        <v>41</v>
      </c>
      <c r="B7" s="2" t="s">
        <v>42</v>
      </c>
      <c r="C7" s="2" t="s">
        <v>43</v>
      </c>
      <c r="D7" s="2" t="s">
        <v>44</v>
      </c>
      <c r="E7" s="3">
        <v>46237</v>
      </c>
      <c r="F7" s="3">
        <v>46244</v>
      </c>
      <c r="G7" s="3">
        <v>46246</v>
      </c>
      <c r="H7" s="2" t="s">
        <v>19</v>
      </c>
      <c r="I7" s="2">
        <v>100</v>
      </c>
      <c r="J7" s="2" t="s">
        <v>35</v>
      </c>
      <c r="K7" s="2" t="s">
        <v>27</v>
      </c>
      <c r="L7" s="2" t="s">
        <v>35</v>
      </c>
      <c r="M7" s="2">
        <v>24</v>
      </c>
      <c r="N7" s="2">
        <v>31</v>
      </c>
      <c r="O7" s="2" t="s">
        <v>45</v>
      </c>
    </row>
    <row r="8" spans="1:15">
      <c r="A8" s="2" t="s">
        <v>46</v>
      </c>
      <c r="B8" s="2" t="s">
        <v>42</v>
      </c>
      <c r="C8" s="2" t="s">
        <v>47</v>
      </c>
      <c r="D8" s="2" t="s">
        <v>48</v>
      </c>
      <c r="E8" s="3">
        <v>46237</v>
      </c>
      <c r="F8" s="3">
        <v>46246</v>
      </c>
      <c r="G8" s="3">
        <v>46248</v>
      </c>
      <c r="H8" s="2" t="s">
        <v>19</v>
      </c>
      <c r="I8" s="2">
        <v>100</v>
      </c>
      <c r="J8" s="2" t="s">
        <v>20</v>
      </c>
      <c r="K8" s="2" t="s">
        <v>27</v>
      </c>
      <c r="L8" s="2" t="s">
        <v>20</v>
      </c>
      <c r="M8" s="2">
        <v>36</v>
      </c>
      <c r="N8" s="2">
        <v>44</v>
      </c>
      <c r="O8" s="2" t="s">
        <v>49</v>
      </c>
    </row>
    <row r="9" spans="1:15">
      <c r="A9" s="2" t="s">
        <v>50</v>
      </c>
      <c r="B9" s="2" t="s">
        <v>42</v>
      </c>
      <c r="C9" s="2" t="s">
        <v>51</v>
      </c>
      <c r="D9" s="2" t="s">
        <v>52</v>
      </c>
      <c r="E9" s="3">
        <v>46240</v>
      </c>
      <c r="F9" s="3">
        <v>46248</v>
      </c>
      <c r="G9" s="3">
        <v>46251</v>
      </c>
      <c r="H9" s="2" t="s">
        <v>19</v>
      </c>
      <c r="I9" s="2">
        <v>100</v>
      </c>
      <c r="J9" s="2" t="s">
        <v>20</v>
      </c>
      <c r="K9" s="2" t="s">
        <v>46</v>
      </c>
      <c r="L9" s="2" t="s">
        <v>20</v>
      </c>
      <c r="M9" s="2">
        <v>24</v>
      </c>
      <c r="N9" s="2">
        <v>30</v>
      </c>
      <c r="O9" s="2" t="s">
        <v>53</v>
      </c>
    </row>
    <row r="10" spans="1:15">
      <c r="A10" s="2" t="s">
        <v>54</v>
      </c>
      <c r="B10" s="2" t="s">
        <v>55</v>
      </c>
      <c r="C10" s="2" t="s">
        <v>56</v>
      </c>
      <c r="D10" s="2" t="s">
        <v>48</v>
      </c>
      <c r="E10" s="3">
        <v>46251</v>
      </c>
      <c r="F10" s="3">
        <v>46262</v>
      </c>
      <c r="G10" s="3">
        <v>46267</v>
      </c>
      <c r="H10" s="2" t="s">
        <v>19</v>
      </c>
      <c r="I10" s="2">
        <v>100</v>
      </c>
      <c r="J10" s="2" t="s">
        <v>20</v>
      </c>
      <c r="K10" s="2" t="s">
        <v>57</v>
      </c>
      <c r="L10" s="2" t="s">
        <v>35</v>
      </c>
      <c r="M10" s="2">
        <v>80</v>
      </c>
      <c r="N10" s="2">
        <v>96</v>
      </c>
      <c r="O10" s="2" t="s">
        <v>58</v>
      </c>
    </row>
    <row r="11" spans="1:15" ht="27.6">
      <c r="A11" s="2" t="s">
        <v>59</v>
      </c>
      <c r="B11" s="2" t="s">
        <v>55</v>
      </c>
      <c r="C11" s="2" t="s">
        <v>60</v>
      </c>
      <c r="D11" s="2" t="s">
        <v>48</v>
      </c>
      <c r="E11" s="3">
        <v>46258</v>
      </c>
      <c r="F11" s="3">
        <v>46269</v>
      </c>
      <c r="G11" s="3"/>
      <c r="H11" s="2" t="s">
        <v>61</v>
      </c>
      <c r="I11" s="2">
        <v>75</v>
      </c>
      <c r="J11" s="2" t="s">
        <v>20</v>
      </c>
      <c r="K11" s="2" t="s">
        <v>46</v>
      </c>
      <c r="L11" s="2" t="s">
        <v>20</v>
      </c>
      <c r="M11" s="2">
        <v>72</v>
      </c>
      <c r="N11" s="2">
        <v>68</v>
      </c>
      <c r="O11" s="2" t="s">
        <v>62</v>
      </c>
    </row>
    <row r="12" spans="1:15">
      <c r="A12" s="2" t="s">
        <v>63</v>
      </c>
      <c r="B12" s="2" t="s">
        <v>55</v>
      </c>
      <c r="C12" s="2" t="s">
        <v>64</v>
      </c>
      <c r="D12" s="2" t="s">
        <v>44</v>
      </c>
      <c r="E12" s="3">
        <v>46258</v>
      </c>
      <c r="F12" s="3">
        <v>46268</v>
      </c>
      <c r="G12" s="3">
        <v>46269</v>
      </c>
      <c r="H12" s="2" t="s">
        <v>19</v>
      </c>
      <c r="I12" s="2">
        <v>100</v>
      </c>
      <c r="J12" s="2" t="s">
        <v>35</v>
      </c>
      <c r="K12" s="2" t="s">
        <v>41</v>
      </c>
      <c r="L12" s="2" t="s">
        <v>22</v>
      </c>
      <c r="M12" s="2">
        <v>32</v>
      </c>
      <c r="N12" s="2">
        <v>35</v>
      </c>
      <c r="O12" s="2" t="s">
        <v>65</v>
      </c>
    </row>
    <row r="13" spans="1:15" ht="27.6">
      <c r="A13" s="2" t="s">
        <v>66</v>
      </c>
      <c r="B13" s="2" t="s">
        <v>55</v>
      </c>
      <c r="C13" s="2" t="s">
        <v>67</v>
      </c>
      <c r="D13" s="2" t="s">
        <v>39</v>
      </c>
      <c r="E13" s="3">
        <v>46265</v>
      </c>
      <c r="F13" s="3">
        <v>46274</v>
      </c>
      <c r="G13" s="3"/>
      <c r="H13" s="2" t="s">
        <v>61</v>
      </c>
      <c r="I13" s="2">
        <v>60</v>
      </c>
      <c r="J13" s="2" t="s">
        <v>20</v>
      </c>
      <c r="K13" s="2" t="s">
        <v>68</v>
      </c>
      <c r="L13" s="2" t="s">
        <v>20</v>
      </c>
      <c r="M13" s="2">
        <v>56</v>
      </c>
      <c r="N13" s="2">
        <v>62</v>
      </c>
      <c r="O13" s="2" t="s">
        <v>69</v>
      </c>
    </row>
    <row r="14" spans="1:15" ht="27.6">
      <c r="A14" s="2" t="s">
        <v>70</v>
      </c>
      <c r="B14" s="2" t="s">
        <v>55</v>
      </c>
      <c r="C14" s="2" t="s">
        <v>71</v>
      </c>
      <c r="D14" s="2" t="s">
        <v>48</v>
      </c>
      <c r="E14" s="3">
        <v>46266</v>
      </c>
      <c r="F14" s="3">
        <v>46280</v>
      </c>
      <c r="G14" s="3"/>
      <c r="H14" s="2" t="s">
        <v>61</v>
      </c>
      <c r="I14" s="2">
        <v>45</v>
      </c>
      <c r="J14" s="2" t="s">
        <v>20</v>
      </c>
      <c r="K14" s="2" t="s">
        <v>54</v>
      </c>
      <c r="L14" s="2" t="s">
        <v>35</v>
      </c>
      <c r="M14" s="2">
        <v>96</v>
      </c>
      <c r="N14" s="2">
        <v>58</v>
      </c>
      <c r="O14" s="2" t="s">
        <v>72</v>
      </c>
    </row>
    <row r="15" spans="1:15" ht="27.6">
      <c r="A15" s="2" t="s">
        <v>73</v>
      </c>
      <c r="B15" s="2" t="s">
        <v>55</v>
      </c>
      <c r="C15" s="2" t="s">
        <v>74</v>
      </c>
      <c r="D15" s="2" t="s">
        <v>44</v>
      </c>
      <c r="E15" s="3">
        <v>46272</v>
      </c>
      <c r="F15" s="3">
        <v>46276</v>
      </c>
      <c r="G15" s="3">
        <v>46279</v>
      </c>
      <c r="H15" s="2" t="s">
        <v>61</v>
      </c>
      <c r="I15" s="2">
        <v>80</v>
      </c>
      <c r="J15" s="2" t="s">
        <v>35</v>
      </c>
      <c r="K15" s="2" t="s">
        <v>63</v>
      </c>
      <c r="L15" s="2" t="s">
        <v>22</v>
      </c>
      <c r="M15" s="2">
        <v>20</v>
      </c>
      <c r="N15" s="2">
        <v>16</v>
      </c>
      <c r="O15" s="2" t="s">
        <v>75</v>
      </c>
    </row>
    <row r="16" spans="1:15">
      <c r="A16" s="2" t="s">
        <v>76</v>
      </c>
      <c r="B16" s="2" t="s">
        <v>77</v>
      </c>
      <c r="C16" s="2" t="s">
        <v>78</v>
      </c>
      <c r="D16" s="2" t="s">
        <v>29</v>
      </c>
      <c r="E16" s="3">
        <v>46272</v>
      </c>
      <c r="F16" s="3">
        <v>46276</v>
      </c>
      <c r="G16" s="3">
        <v>46277</v>
      </c>
      <c r="H16" s="2" t="s">
        <v>19</v>
      </c>
      <c r="I16" s="2">
        <v>100</v>
      </c>
      <c r="J16" s="2" t="s">
        <v>20</v>
      </c>
      <c r="K16" s="2" t="s">
        <v>54</v>
      </c>
      <c r="L16" s="2" t="s">
        <v>22</v>
      </c>
      <c r="M16" s="2">
        <v>28</v>
      </c>
      <c r="N16" s="2">
        <v>30</v>
      </c>
      <c r="O16" s="2" t="s">
        <v>79</v>
      </c>
    </row>
    <row r="17" spans="1:15" ht="27.6">
      <c r="A17" s="2" t="s">
        <v>80</v>
      </c>
      <c r="B17" s="2" t="s">
        <v>77</v>
      </c>
      <c r="C17" s="2" t="s">
        <v>81</v>
      </c>
      <c r="D17" s="2" t="s">
        <v>29</v>
      </c>
      <c r="E17" s="3">
        <v>46279</v>
      </c>
      <c r="F17" s="3">
        <v>46290</v>
      </c>
      <c r="G17" s="3"/>
      <c r="H17" s="2" t="s">
        <v>82</v>
      </c>
      <c r="I17" s="2">
        <v>0</v>
      </c>
      <c r="J17" s="2" t="s">
        <v>20</v>
      </c>
      <c r="K17" s="2" t="s">
        <v>83</v>
      </c>
      <c r="L17" s="2" t="s">
        <v>20</v>
      </c>
      <c r="M17" s="2">
        <v>72</v>
      </c>
      <c r="N17" s="2">
        <v>0</v>
      </c>
      <c r="O17" s="2" t="s">
        <v>84</v>
      </c>
    </row>
    <row r="18" spans="1:15" ht="27.6">
      <c r="A18" s="2" t="s">
        <v>85</v>
      </c>
      <c r="B18" s="2" t="s">
        <v>77</v>
      </c>
      <c r="C18" s="2" t="s">
        <v>86</v>
      </c>
      <c r="D18" s="2" t="s">
        <v>87</v>
      </c>
      <c r="E18" s="3">
        <v>46293</v>
      </c>
      <c r="F18" s="3">
        <v>46301</v>
      </c>
      <c r="G18" s="3"/>
      <c r="H18" s="2" t="s">
        <v>82</v>
      </c>
      <c r="I18" s="2">
        <v>0</v>
      </c>
      <c r="J18" s="2" t="s">
        <v>20</v>
      </c>
      <c r="K18" s="2" t="s">
        <v>80</v>
      </c>
      <c r="L18" s="2" t="s">
        <v>20</v>
      </c>
      <c r="M18" s="2">
        <v>64</v>
      </c>
      <c r="N18" s="2">
        <v>0</v>
      </c>
      <c r="O18" s="2" t="s">
        <v>88</v>
      </c>
    </row>
    <row r="19" spans="1:15" ht="27.6">
      <c r="A19" s="2" t="s">
        <v>89</v>
      </c>
      <c r="B19" s="2" t="s">
        <v>77</v>
      </c>
      <c r="C19" s="2" t="s">
        <v>90</v>
      </c>
      <c r="D19" s="2" t="s">
        <v>48</v>
      </c>
      <c r="E19" s="3">
        <v>46294</v>
      </c>
      <c r="F19" s="3">
        <v>46304</v>
      </c>
      <c r="G19" s="3"/>
      <c r="H19" s="2" t="s">
        <v>82</v>
      </c>
      <c r="I19" s="2">
        <v>0</v>
      </c>
      <c r="J19" s="2" t="s">
        <v>20</v>
      </c>
      <c r="K19" s="2" t="s">
        <v>80</v>
      </c>
      <c r="L19" s="2" t="s">
        <v>20</v>
      </c>
      <c r="M19" s="2">
        <v>80</v>
      </c>
      <c r="N19" s="2">
        <v>0</v>
      </c>
      <c r="O19" s="2" t="s">
        <v>91</v>
      </c>
    </row>
    <row r="20" spans="1:15" ht="27.6">
      <c r="A20" s="2" t="s">
        <v>92</v>
      </c>
      <c r="B20" s="2" t="s">
        <v>93</v>
      </c>
      <c r="C20" s="2" t="s">
        <v>94</v>
      </c>
      <c r="D20" s="2" t="s">
        <v>18</v>
      </c>
      <c r="E20" s="3">
        <v>46300</v>
      </c>
      <c r="F20" s="3">
        <v>46304</v>
      </c>
      <c r="G20" s="3"/>
      <c r="H20" s="2" t="s">
        <v>82</v>
      </c>
      <c r="I20" s="2">
        <v>0</v>
      </c>
      <c r="J20" s="2" t="s">
        <v>20</v>
      </c>
      <c r="K20" s="2" t="s">
        <v>95</v>
      </c>
      <c r="L20" s="2" t="s">
        <v>35</v>
      </c>
      <c r="M20" s="2">
        <v>24</v>
      </c>
      <c r="N20" s="2">
        <v>0</v>
      </c>
      <c r="O20" s="2" t="s">
        <v>96</v>
      </c>
    </row>
    <row r="21" spans="1:15" ht="27.6">
      <c r="A21" s="2" t="s">
        <v>97</v>
      </c>
      <c r="B21" s="2" t="s">
        <v>93</v>
      </c>
      <c r="C21" s="2" t="s">
        <v>98</v>
      </c>
      <c r="D21" s="2" t="s">
        <v>48</v>
      </c>
      <c r="E21" s="3">
        <v>46307</v>
      </c>
      <c r="F21" s="3">
        <v>46308</v>
      </c>
      <c r="G21" s="3"/>
      <c r="H21" s="2" t="s">
        <v>82</v>
      </c>
      <c r="I21" s="2">
        <v>0</v>
      </c>
      <c r="J21" s="2" t="s">
        <v>20</v>
      </c>
      <c r="K21" s="2" t="s">
        <v>92</v>
      </c>
      <c r="L21" s="2" t="s">
        <v>35</v>
      </c>
      <c r="M21" s="2">
        <v>16</v>
      </c>
      <c r="N21" s="2">
        <v>0</v>
      </c>
      <c r="O21" s="2" t="s">
        <v>99</v>
      </c>
    </row>
    <row r="22" spans="1:15" ht="27.6">
      <c r="A22" s="2" t="s">
        <v>100</v>
      </c>
      <c r="B22" s="2" t="s">
        <v>93</v>
      </c>
      <c r="C22" s="2" t="s">
        <v>101</v>
      </c>
      <c r="D22" s="2" t="s">
        <v>48</v>
      </c>
      <c r="E22" s="3">
        <v>46314</v>
      </c>
      <c r="F22" s="3">
        <v>46315</v>
      </c>
      <c r="G22" s="3"/>
      <c r="H22" s="2" t="s">
        <v>82</v>
      </c>
      <c r="I22" s="2">
        <v>0</v>
      </c>
      <c r="J22" s="2" t="s">
        <v>102</v>
      </c>
      <c r="K22" s="2" t="s">
        <v>97</v>
      </c>
      <c r="L22" s="2" t="s">
        <v>20</v>
      </c>
      <c r="M22" s="2">
        <v>20</v>
      </c>
      <c r="N22" s="2">
        <v>0</v>
      </c>
      <c r="O22" s="2" t="s">
        <v>103</v>
      </c>
    </row>
    <row r="23" spans="1:15" ht="27.6">
      <c r="A23" s="2" t="s">
        <v>104</v>
      </c>
      <c r="B23" s="2" t="s">
        <v>105</v>
      </c>
      <c r="C23" s="2" t="s">
        <v>106</v>
      </c>
      <c r="D23" s="2" t="s">
        <v>107</v>
      </c>
      <c r="E23" s="3">
        <v>46316</v>
      </c>
      <c r="F23" s="3">
        <v>46325</v>
      </c>
      <c r="G23" s="3"/>
      <c r="H23" s="2" t="s">
        <v>82</v>
      </c>
      <c r="I23" s="2">
        <v>0</v>
      </c>
      <c r="J23" s="2" t="s">
        <v>20</v>
      </c>
      <c r="K23" s="2" t="s">
        <v>100</v>
      </c>
      <c r="L23" s="2" t="s">
        <v>35</v>
      </c>
      <c r="M23" s="2">
        <v>80</v>
      </c>
      <c r="N23" s="2">
        <v>0</v>
      </c>
      <c r="O23" s="2" t="s">
        <v>108</v>
      </c>
    </row>
    <row r="24" spans="1:15" ht="27.6">
      <c r="A24" s="2" t="s">
        <v>109</v>
      </c>
      <c r="B24" s="2" t="s">
        <v>110</v>
      </c>
      <c r="C24" s="2" t="s">
        <v>111</v>
      </c>
      <c r="D24" s="2" t="s">
        <v>18</v>
      </c>
      <c r="E24" s="3">
        <v>46328</v>
      </c>
      <c r="F24" s="3">
        <v>46330</v>
      </c>
      <c r="G24" s="3"/>
      <c r="H24" s="2" t="s">
        <v>82</v>
      </c>
      <c r="I24" s="2">
        <v>0</v>
      </c>
      <c r="J24" s="2" t="s">
        <v>35</v>
      </c>
      <c r="K24" s="2" t="s">
        <v>104</v>
      </c>
      <c r="L24" s="2" t="s">
        <v>22</v>
      </c>
      <c r="M24" s="2">
        <v>16</v>
      </c>
      <c r="N24" s="2">
        <v>0</v>
      </c>
      <c r="O24" s="2" t="s">
        <v>112</v>
      </c>
    </row>
    <row r="25" spans="1:15" ht="27.6">
      <c r="A25" s="2" t="s">
        <v>113</v>
      </c>
      <c r="B25" s="2" t="s">
        <v>110</v>
      </c>
      <c r="C25" s="2" t="s">
        <v>114</v>
      </c>
      <c r="D25" s="2" t="s">
        <v>29</v>
      </c>
      <c r="E25" s="3">
        <v>46328</v>
      </c>
      <c r="F25" s="3">
        <v>46332</v>
      </c>
      <c r="G25" s="3"/>
      <c r="H25" s="2" t="s">
        <v>82</v>
      </c>
      <c r="I25" s="2">
        <v>0</v>
      </c>
      <c r="J25" s="2" t="s">
        <v>35</v>
      </c>
      <c r="K25" s="2" t="s">
        <v>100</v>
      </c>
      <c r="L25" s="2" t="s">
        <v>22</v>
      </c>
      <c r="M25" s="2">
        <v>20</v>
      </c>
      <c r="N25" s="2">
        <v>0</v>
      </c>
      <c r="O25" s="2" t="s">
        <v>115</v>
      </c>
    </row>
    <row r="26" spans="1:15" ht="27.6">
      <c r="A26" s="2" t="s">
        <v>116</v>
      </c>
      <c r="B26" s="2" t="s">
        <v>110</v>
      </c>
      <c r="C26" s="2" t="s">
        <v>117</v>
      </c>
      <c r="D26" s="2" t="s">
        <v>18</v>
      </c>
      <c r="E26" s="3">
        <v>46331</v>
      </c>
      <c r="F26" s="3">
        <v>46335</v>
      </c>
      <c r="G26" s="3"/>
      <c r="H26" s="2" t="s">
        <v>82</v>
      </c>
      <c r="I26" s="2">
        <v>0</v>
      </c>
      <c r="J26" s="2" t="s">
        <v>35</v>
      </c>
      <c r="K26" s="2" t="s">
        <v>118</v>
      </c>
      <c r="L26" s="2" t="s">
        <v>22</v>
      </c>
      <c r="M26" s="2">
        <v>16</v>
      </c>
      <c r="N26" s="2">
        <v>0</v>
      </c>
      <c r="O26" s="2" t="s">
        <v>119</v>
      </c>
    </row>
    <row r="27" spans="1:15">
      <c r="A27" s="2" t="s">
        <v>120</v>
      </c>
      <c r="B27" s="2" t="s">
        <v>16</v>
      </c>
      <c r="C27" s="2" t="s">
        <v>121</v>
      </c>
      <c r="D27" s="2" t="s">
        <v>18</v>
      </c>
      <c r="E27" s="3">
        <v>46226</v>
      </c>
      <c r="F27" s="3">
        <v>46230</v>
      </c>
      <c r="G27" s="3">
        <v>46230</v>
      </c>
      <c r="H27" s="2" t="s">
        <v>19</v>
      </c>
      <c r="I27" s="2">
        <v>100</v>
      </c>
      <c r="J27" s="2" t="s">
        <v>35</v>
      </c>
      <c r="K27" s="2" t="s">
        <v>15</v>
      </c>
      <c r="L27" s="2" t="s">
        <v>22</v>
      </c>
      <c r="M27" s="2">
        <v>12</v>
      </c>
      <c r="N27" s="2">
        <v>12</v>
      </c>
      <c r="O27" s="2" t="s">
        <v>122</v>
      </c>
    </row>
    <row r="28" spans="1:15">
      <c r="A28" s="2" t="s">
        <v>123</v>
      </c>
      <c r="B28" s="2" t="s">
        <v>32</v>
      </c>
      <c r="C28" s="2" t="s">
        <v>124</v>
      </c>
      <c r="D28" s="2" t="s">
        <v>29</v>
      </c>
      <c r="E28" s="3">
        <v>46231</v>
      </c>
      <c r="F28" s="3">
        <v>46238</v>
      </c>
      <c r="G28" s="3">
        <v>46240</v>
      </c>
      <c r="H28" s="2" t="s">
        <v>19</v>
      </c>
      <c r="I28" s="2">
        <v>100</v>
      </c>
      <c r="J28" s="2" t="s">
        <v>20</v>
      </c>
      <c r="K28" s="2" t="s">
        <v>27</v>
      </c>
      <c r="L28" s="2" t="s">
        <v>35</v>
      </c>
      <c r="M28" s="2">
        <v>20</v>
      </c>
      <c r="N28" s="2">
        <v>24</v>
      </c>
      <c r="O28" s="2" t="s">
        <v>125</v>
      </c>
    </row>
    <row r="29" spans="1:15" ht="27.6">
      <c r="A29" s="2" t="s">
        <v>126</v>
      </c>
      <c r="B29" s="2" t="s">
        <v>55</v>
      </c>
      <c r="C29" s="2" t="s">
        <v>127</v>
      </c>
      <c r="D29" s="2" t="s">
        <v>39</v>
      </c>
      <c r="E29" s="3">
        <v>46258</v>
      </c>
      <c r="F29" s="3">
        <v>46281</v>
      </c>
      <c r="G29" s="3"/>
      <c r="H29" s="2" t="s">
        <v>61</v>
      </c>
      <c r="I29" s="2">
        <v>40</v>
      </c>
      <c r="J29" s="2" t="s">
        <v>102</v>
      </c>
      <c r="K29" s="2" t="s">
        <v>37</v>
      </c>
      <c r="L29" s="2" t="s">
        <v>20</v>
      </c>
      <c r="M29" s="2">
        <v>64</v>
      </c>
      <c r="N29" s="2">
        <v>54</v>
      </c>
      <c r="O29" s="2" t="s">
        <v>128</v>
      </c>
    </row>
    <row r="30" spans="1:15" ht="27.6">
      <c r="A30" s="2" t="s">
        <v>129</v>
      </c>
      <c r="B30" s="2" t="s">
        <v>77</v>
      </c>
      <c r="C30" s="2" t="s">
        <v>130</v>
      </c>
      <c r="D30" s="2" t="s">
        <v>52</v>
      </c>
      <c r="E30" s="3">
        <v>46281</v>
      </c>
      <c r="F30" s="3">
        <v>46288</v>
      </c>
      <c r="G30" s="3"/>
      <c r="H30" s="2" t="s">
        <v>82</v>
      </c>
      <c r="I30" s="2">
        <v>0</v>
      </c>
      <c r="J30" s="2" t="s">
        <v>102</v>
      </c>
      <c r="K30" s="2" t="s">
        <v>131</v>
      </c>
      <c r="L30" s="2" t="s">
        <v>20</v>
      </c>
      <c r="M30" s="2">
        <v>32</v>
      </c>
      <c r="N30" s="2">
        <v>0</v>
      </c>
      <c r="O30" s="2" t="s">
        <v>132</v>
      </c>
    </row>
    <row r="31" spans="1:15" ht="27.6">
      <c r="A31" s="2" t="s">
        <v>133</v>
      </c>
      <c r="B31" s="2" t="s">
        <v>93</v>
      </c>
      <c r="C31" s="2" t="s">
        <v>134</v>
      </c>
      <c r="D31" s="2" t="s">
        <v>44</v>
      </c>
      <c r="E31" s="3">
        <v>46286</v>
      </c>
      <c r="F31" s="3">
        <v>46297</v>
      </c>
      <c r="G31" s="3"/>
      <c r="H31" s="2" t="s">
        <v>82</v>
      </c>
      <c r="I31" s="2">
        <v>0</v>
      </c>
      <c r="J31" s="2" t="s">
        <v>35</v>
      </c>
      <c r="K31" s="2" t="s">
        <v>135</v>
      </c>
      <c r="L31" s="2" t="s">
        <v>35</v>
      </c>
      <c r="M31" s="2">
        <v>40</v>
      </c>
      <c r="N31" s="2">
        <v>0</v>
      </c>
      <c r="O31" s="2" t="s">
        <v>136</v>
      </c>
    </row>
  </sheetData>
  <conditionalFormatting sqref="I2:I31">
    <cfRule type="dataBar" priority="1">
      <dataBar>
        <cfvo type="min"/>
        <cfvo type="max"/>
        <color rgb="FFA02B93"/>
      </dataBar>
    </cfRule>
  </conditionalFormatting>
  <conditionalFormatting sqref="I2:I31"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{FC0FD700-0A43-F48C-A561-A194E93747C4}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0FD700-0A43-F48C-A561-A194E93747C4}">
            <x14:dataBar>
              <x14:cfvo type="min"/>
              <x14:cfvo type="max"/>
              <x14:negativeFillColor auto="1"/>
              <x14:axisColor auto="1"/>
            </x14:dataBar>
          </x14:cfRule>
          <xm:sqref>I2:I31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topLeftCell="B1" workbookViewId="0">
      <selection activeCell="H2" sqref="H2"/>
    </sheetView>
  </sheetViews>
  <sheetFormatPr baseColWidth="10" defaultColWidth="8.796875" defaultRowHeight="13.8"/>
  <cols>
    <col min="1" max="1" width="10.09765625" bestFit="1" customWidth="1"/>
    <col min="2" max="2" width="19.09765625" bestFit="1" customWidth="1"/>
    <col min="3" max="3" width="12.5" bestFit="1" customWidth="1"/>
    <col min="4" max="4" width="40" customWidth="1"/>
    <col min="5" max="5" width="38" customWidth="1"/>
    <col min="6" max="6" width="40" customWidth="1"/>
    <col min="7" max="7" width="10.09765625" bestFit="1" customWidth="1"/>
    <col min="8" max="8" width="22" customWidth="1"/>
  </cols>
  <sheetData>
    <row r="1" spans="1:8" ht="27.6">
      <c r="A1" s="4" t="s">
        <v>137</v>
      </c>
      <c r="B1" s="4" t="s">
        <v>138</v>
      </c>
      <c r="C1" s="4" t="s">
        <v>139</v>
      </c>
      <c r="D1" s="4" t="s">
        <v>140</v>
      </c>
      <c r="E1" s="4" t="s">
        <v>141</v>
      </c>
      <c r="F1" s="4" t="s">
        <v>142</v>
      </c>
      <c r="G1" s="4" t="s">
        <v>143</v>
      </c>
      <c r="H1" s="4" t="s">
        <v>144</v>
      </c>
    </row>
    <row r="2" spans="1:8" ht="27.6">
      <c r="A2" s="3">
        <v>46262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3">
        <v>46267</v>
      </c>
      <c r="H2" s="2" t="s">
        <v>150</v>
      </c>
    </row>
    <row r="3" spans="1:8" ht="27.6">
      <c r="A3" s="3">
        <v>46269</v>
      </c>
      <c r="B3" s="2" t="s">
        <v>151</v>
      </c>
      <c r="C3" s="2" t="s">
        <v>152</v>
      </c>
      <c r="D3" s="2" t="s">
        <v>153</v>
      </c>
      <c r="E3" s="2" t="s">
        <v>154</v>
      </c>
      <c r="F3" s="2" t="s">
        <v>155</v>
      </c>
      <c r="G3" s="3">
        <v>46274</v>
      </c>
      <c r="H3" s="2" t="s">
        <v>156</v>
      </c>
    </row>
    <row r="4" spans="1:8" ht="27.6">
      <c r="A4" s="3">
        <v>46273</v>
      </c>
      <c r="B4" s="2" t="s">
        <v>157</v>
      </c>
      <c r="C4" s="2" t="s">
        <v>158</v>
      </c>
      <c r="D4" s="2" t="s">
        <v>159</v>
      </c>
      <c r="E4" s="2" t="s">
        <v>160</v>
      </c>
      <c r="F4" s="2" t="s">
        <v>161</v>
      </c>
      <c r="G4" s="3">
        <v>46276</v>
      </c>
      <c r="H4" s="2" t="s">
        <v>162</v>
      </c>
    </row>
    <row r="5" spans="1:8" ht="27.6">
      <c r="A5" s="3">
        <v>46275</v>
      </c>
      <c r="B5" s="2" t="s">
        <v>163</v>
      </c>
      <c r="C5" s="2" t="s">
        <v>164</v>
      </c>
      <c r="D5" s="2" t="s">
        <v>165</v>
      </c>
      <c r="E5" s="2" t="s">
        <v>166</v>
      </c>
      <c r="F5" s="2" t="s">
        <v>167</v>
      </c>
      <c r="G5" s="3">
        <v>46279</v>
      </c>
      <c r="H5" s="2" t="s">
        <v>168</v>
      </c>
    </row>
    <row r="6" spans="1:8" ht="27.6">
      <c r="A6" s="3">
        <v>46276</v>
      </c>
      <c r="B6" s="2" t="s">
        <v>145</v>
      </c>
      <c r="C6" s="2" t="s">
        <v>169</v>
      </c>
      <c r="D6" s="2" t="s">
        <v>170</v>
      </c>
      <c r="E6" s="2" t="s">
        <v>171</v>
      </c>
      <c r="F6" s="2" t="s">
        <v>172</v>
      </c>
      <c r="G6" s="3">
        <v>46279</v>
      </c>
      <c r="H6" s="2" t="s">
        <v>173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showGridLines="0" workbookViewId="0">
      <selection activeCell="F21" sqref="F21"/>
    </sheetView>
  </sheetViews>
  <sheetFormatPr baseColWidth="10" defaultColWidth="8.796875" defaultRowHeight="13.8"/>
  <cols>
    <col min="1" max="1" width="25" customWidth="1"/>
    <col min="2" max="2" width="15" customWidth="1"/>
    <col min="4" max="4" width="18" customWidth="1"/>
    <col min="5" max="5" width="12" customWidth="1"/>
    <col min="6" max="6" width="14" customWidth="1"/>
  </cols>
  <sheetData>
    <row r="1" spans="1:8" ht="21">
      <c r="A1" s="10" t="s">
        <v>174</v>
      </c>
      <c r="B1" s="11"/>
      <c r="C1" s="11"/>
      <c r="D1" s="11"/>
      <c r="E1" s="11"/>
      <c r="F1" s="11"/>
      <c r="G1" s="11"/>
      <c r="H1" s="11"/>
    </row>
    <row r="2" spans="1:8" ht="14.4">
      <c r="A2" s="12" t="s">
        <v>175</v>
      </c>
      <c r="B2" s="11"/>
      <c r="C2" s="11"/>
      <c r="D2" s="11"/>
      <c r="E2" s="11"/>
      <c r="F2" s="11"/>
      <c r="G2" s="11"/>
      <c r="H2" s="11"/>
    </row>
    <row r="4" spans="1:8" ht="16.8">
      <c r="A4" s="5" t="s">
        <v>176</v>
      </c>
      <c r="B4" s="6">
        <f>COUNTA(Project_Tracker!A2:A31)</f>
        <v>30</v>
      </c>
      <c r="D4" s="8" t="s">
        <v>7</v>
      </c>
      <c r="E4" s="8" t="s">
        <v>177</v>
      </c>
      <c r="F4" s="8" t="s">
        <v>178</v>
      </c>
    </row>
    <row r="5" spans="1:8" ht="16.8">
      <c r="A5" s="5" t="s">
        <v>19</v>
      </c>
      <c r="B5" s="6">
        <f>COUNTIF(Project_Tracker!H2:H31,"Completed")</f>
        <v>13</v>
      </c>
      <c r="D5" t="s">
        <v>19</v>
      </c>
      <c r="E5">
        <f>COUNTIF(Project_Tracker!H2:H31,"Completed")</f>
        <v>13</v>
      </c>
      <c r="F5" s="9">
        <f>E5/$B$4</f>
        <v>0.43333333333333335</v>
      </c>
    </row>
    <row r="6" spans="1:8" ht="16.8">
      <c r="A6" s="5" t="s">
        <v>61</v>
      </c>
      <c r="B6" s="6">
        <f>COUNTIF(Project_Tracker!H2:H31,"In Progress")</f>
        <v>5</v>
      </c>
      <c r="D6" t="s">
        <v>61</v>
      </c>
      <c r="E6">
        <f>COUNTIF(Project_Tracker!H2:H31,"In Progress")</f>
        <v>5</v>
      </c>
      <c r="F6" s="9">
        <f>E6/$B$4</f>
        <v>0.16666666666666666</v>
      </c>
    </row>
    <row r="7" spans="1:8" ht="16.8">
      <c r="A7" s="5" t="s">
        <v>179</v>
      </c>
      <c r="B7" s="6">
        <f>COUNTIF(Project_Tracker!L2:L31,"High")+COUNTIF(Project_Tracker!L2:L31,"Critical")</f>
        <v>10</v>
      </c>
      <c r="D7" t="s">
        <v>82</v>
      </c>
      <c r="E7">
        <f>COUNTIF(Project_Tracker!H2:H31,"Not Started")</f>
        <v>12</v>
      </c>
      <c r="F7" s="9">
        <f>E7/$B$4</f>
        <v>0.4</v>
      </c>
    </row>
    <row r="8" spans="1:8" ht="16.8">
      <c r="A8" s="5" t="s">
        <v>180</v>
      </c>
      <c r="B8" s="7">
        <f>AVERAGE(Project_Tracker!I2:I31)/100</f>
        <v>0.53333333333333333</v>
      </c>
    </row>
    <row r="9" spans="1:8" ht="16.8">
      <c r="A9" s="5" t="s">
        <v>12</v>
      </c>
      <c r="B9" s="6">
        <f>SUM(Project_Tracker!M2:M31)</f>
        <v>1136</v>
      </c>
    </row>
    <row r="10" spans="1:8" ht="16.8">
      <c r="A10" s="5" t="s">
        <v>13</v>
      </c>
      <c r="B10" s="6">
        <f>SUM(Project_Tracker!N2:N31)</f>
        <v>670</v>
      </c>
      <c r="D10" s="8" t="s">
        <v>11</v>
      </c>
      <c r="E10" s="8" t="s">
        <v>177</v>
      </c>
      <c r="F10" s="8" t="s">
        <v>178</v>
      </c>
    </row>
    <row r="11" spans="1:8" ht="16.8">
      <c r="A11" s="5" t="s">
        <v>181</v>
      </c>
      <c r="B11" s="6">
        <f>COUNTIFS(Project_Tracker!H2:H31,"&lt;&gt;Completed",Project_Tracker!L2:L31,"&lt;&gt;Low")</f>
        <v>13</v>
      </c>
      <c r="D11" t="s">
        <v>22</v>
      </c>
      <c r="E11">
        <f>COUNTIF(Project_Tracker!L2:L31,"Low")</f>
        <v>10</v>
      </c>
      <c r="F11" s="9">
        <f>E11/$B$4</f>
        <v>0.33333333333333331</v>
      </c>
    </row>
    <row r="12" spans="1:8">
      <c r="D12" t="s">
        <v>35</v>
      </c>
      <c r="E12">
        <f>COUNTIF(Project_Tracker!L2:L31,"Medium")</f>
        <v>10</v>
      </c>
      <c r="F12" s="9">
        <f>E12/$B$4</f>
        <v>0.33333333333333331</v>
      </c>
    </row>
    <row r="13" spans="1:8">
      <c r="D13" t="s">
        <v>182</v>
      </c>
      <c r="E13">
        <f>COUNTIF(Project_Tracker!L2:L31,"High")+COUNTIF(Project_Tracker!L2:L31,"Critical")</f>
        <v>10</v>
      </c>
      <c r="F13" s="9">
        <f>E13/$B$4</f>
        <v>0.33333333333333331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Project_Tracker</vt:lpstr>
      <vt:lpstr>Meeting_Notes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Alcira</cp:lastModifiedBy>
  <dcterms:modified xsi:type="dcterms:W3CDTF">2026-09-16T12:28:26Z</dcterms:modified>
</cp:coreProperties>
</file>